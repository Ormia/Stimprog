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ner1\Documents\MATLAB\StimProg_Ephys\"/>
    </mc:Choice>
  </mc:AlternateContent>
  <xr:revisionPtr revIDLastSave="0" documentId="13_ncr:1_{2D375258-E34E-4E73-96A8-4EC683E0F086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ch1" sheetId="1" r:id="rId1"/>
    <sheet name="ch2" sheetId="6" r:id="rId2"/>
  </sheets>
  <calcPr calcId="191029"/>
</workbook>
</file>

<file path=xl/calcChain.xml><?xml version="1.0" encoding="utf-8"?>
<calcChain xmlns="http://schemas.openxmlformats.org/spreadsheetml/2006/main">
  <c r="H5" i="1" l="1"/>
  <c r="H12" i="1"/>
  <c r="H18" i="1"/>
  <c r="H17" i="1"/>
  <c r="H10" i="1"/>
  <c r="J18" i="1"/>
  <c r="J17" i="1"/>
  <c r="H2" i="1"/>
  <c r="H3" i="1"/>
  <c r="H4" i="1"/>
  <c r="H6" i="1"/>
  <c r="H7" i="1"/>
  <c r="H8" i="1"/>
  <c r="H9" i="1"/>
  <c r="H11" i="1"/>
  <c r="H13" i="1"/>
  <c r="H14" i="1"/>
  <c r="H15" i="1"/>
  <c r="H16" i="1"/>
  <c r="H19" i="1"/>
  <c r="H20" i="1"/>
  <c r="H21" i="1"/>
  <c r="H22" i="6"/>
  <c r="K22" i="6" s="1"/>
  <c r="J21" i="6"/>
  <c r="H21" i="6"/>
  <c r="K21" i="6" s="1"/>
  <c r="J20" i="6"/>
  <c r="H20" i="6"/>
  <c r="J19" i="6"/>
  <c r="K19" i="6" s="1"/>
  <c r="H19" i="6"/>
  <c r="J18" i="6"/>
  <c r="K18" i="6" s="1"/>
  <c r="H18" i="6"/>
  <c r="J17" i="6"/>
  <c r="H17" i="6"/>
  <c r="J16" i="6"/>
  <c r="H16" i="6"/>
  <c r="K16" i="6" s="1"/>
  <c r="J15" i="6"/>
  <c r="H15" i="6"/>
  <c r="K15" i="6" s="1"/>
  <c r="J14" i="6"/>
  <c r="H14" i="6"/>
  <c r="J13" i="6"/>
  <c r="H13" i="6"/>
  <c r="K13" i="6" s="1"/>
  <c r="J12" i="6"/>
  <c r="H12" i="6"/>
  <c r="K12" i="6" s="1"/>
  <c r="J11" i="6"/>
  <c r="H11" i="6"/>
  <c r="J10" i="6"/>
  <c r="K10" i="6" s="1"/>
  <c r="H10" i="6"/>
  <c r="J9" i="6"/>
  <c r="H9" i="6"/>
  <c r="K9" i="6" s="1"/>
  <c r="J8" i="6"/>
  <c r="K8" i="6" s="1"/>
  <c r="H8" i="6"/>
  <c r="J7" i="6"/>
  <c r="H7" i="6"/>
  <c r="K7" i="6" s="1"/>
  <c r="J6" i="6"/>
  <c r="H6" i="6"/>
  <c r="J5" i="6"/>
  <c r="H5" i="6"/>
  <c r="J4" i="6"/>
  <c r="H4" i="6"/>
  <c r="J3" i="6"/>
  <c r="H3" i="6"/>
  <c r="J2" i="6"/>
  <c r="K2" i="6" s="1"/>
  <c r="H2" i="6"/>
  <c r="H22" i="1"/>
  <c r="J15" i="1"/>
  <c r="J16" i="1"/>
  <c r="J19" i="1"/>
  <c r="J20" i="1"/>
  <c r="J21" i="1"/>
  <c r="K17" i="1" l="1"/>
  <c r="K16" i="1"/>
  <c r="K20" i="1"/>
  <c r="K18" i="1"/>
  <c r="K19" i="1"/>
  <c r="K15" i="1"/>
  <c r="K21" i="1"/>
  <c r="K3" i="6"/>
  <c r="K4" i="6"/>
  <c r="K11" i="6"/>
  <c r="K5" i="6"/>
  <c r="K20" i="6"/>
  <c r="K6" i="6"/>
  <c r="K17" i="6"/>
  <c r="K14" i="6"/>
  <c r="K22" i="1"/>
  <c r="J14" i="1" l="1"/>
  <c r="J13" i="1"/>
  <c r="J12" i="1"/>
  <c r="J11" i="1"/>
  <c r="J10" i="1"/>
  <c r="J9" i="1"/>
  <c r="J8" i="1"/>
  <c r="J7" i="1"/>
  <c r="K7" i="1" s="1"/>
  <c r="J6" i="1"/>
  <c r="J5" i="1"/>
  <c r="K5" i="1" s="1"/>
  <c r="J4" i="1"/>
  <c r="J3" i="1"/>
  <c r="J2" i="1"/>
  <c r="K2" i="1" l="1"/>
  <c r="K3" i="1"/>
  <c r="K12" i="1"/>
  <c r="K9" i="1"/>
  <c r="K4" i="1"/>
  <c r="K6" i="1"/>
  <c r="K8" i="1"/>
  <c r="K10" i="1"/>
  <c r="K11" i="1"/>
  <c r="K14" i="1"/>
  <c r="K13" i="1"/>
</calcChain>
</file>

<file path=xl/sharedStrings.xml><?xml version="1.0" encoding="utf-8"?>
<sst xmlns="http://schemas.openxmlformats.org/spreadsheetml/2006/main" count="72" uniqueCount="34">
  <si>
    <t>silence</t>
  </si>
  <si>
    <t>ref_atten</t>
  </si>
  <si>
    <t>freq</t>
  </si>
  <si>
    <t>atten</t>
  </si>
  <si>
    <t>Set Attenuator Val</t>
  </si>
  <si>
    <t>dB Difference</t>
  </si>
  <si>
    <t>measured dB Value</t>
  </si>
  <si>
    <t>current atten setting</t>
  </si>
  <si>
    <t>f_1000</t>
  </si>
  <si>
    <t>f_2000</t>
  </si>
  <si>
    <t>f_4000</t>
  </si>
  <si>
    <t>f_8000</t>
  </si>
  <si>
    <t>f_16000</t>
  </si>
  <si>
    <t>Notes</t>
  </si>
  <si>
    <t>Envelope Distortion Reverberation</t>
  </si>
  <si>
    <t>Minor Envelope Distortion</t>
  </si>
  <si>
    <t>f_1260</t>
  </si>
  <si>
    <t>f_1587</t>
  </si>
  <si>
    <t>f_2520</t>
  </si>
  <si>
    <t>f_3175</t>
  </si>
  <si>
    <t>f_5040</t>
  </si>
  <si>
    <t>f_6350</t>
  </si>
  <si>
    <t>f_10079</t>
  </si>
  <si>
    <t>f_12699</t>
  </si>
  <si>
    <t>small reverb</t>
  </si>
  <si>
    <t>small reverberation</t>
  </si>
  <si>
    <t>f_20159</t>
  </si>
  <si>
    <t>f_25398</t>
  </si>
  <si>
    <t>f_32000</t>
  </si>
  <si>
    <t>f_40317</t>
  </si>
  <si>
    <t>f_50797</t>
  </si>
  <si>
    <t>f_64000</t>
  </si>
  <si>
    <t>f_80635</t>
  </si>
  <si>
    <t>vifa, up to 89.8 dB at 0 atten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</si>
</sst>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"/>
  <sheetViews>
    <sheetView tabSelected="1" workbookViewId="0">
      <selection activeCell="I5" sqref="I5"/>
    </sheetView>
  </sheetViews>
  <sheetFormatPr defaultRowHeight="15" x14ac:dyDescent="0.25"/>
  <cols>
    <col min="3" max="3" width="12.42578125" customWidth="1"/>
    <col min="4" max="4" width="9.7109375" bestFit="1" customWidth="1"/>
    <col min="5" max="5" width="10" customWidth="1"/>
    <col min="6" max="6" width="9.5703125" customWidth="1"/>
    <col min="7" max="7" width="10.140625" customWidth="1"/>
    <col min="8" max="8" width="17.5703125" customWidth="1"/>
    <col min="9" max="9" width="18.42578125" bestFit="1" customWidth="1"/>
    <col min="10" max="10" width="13.28515625" bestFit="1" customWidth="1"/>
    <col min="11" max="11" width="17.5703125" bestFit="1" customWidth="1"/>
    <col min="12" max="12" width="9.5703125" customWidth="1"/>
    <col min="13" max="13" width="31.28515625" customWidth="1"/>
    <col min="14" max="14" width="9.7109375" bestFit="1" customWidth="1"/>
    <col min="15" max="15" width="9.5703125" customWidth="1"/>
    <col min="16" max="16" width="10.42578125" customWidth="1"/>
    <col min="17" max="17" width="10.5703125" customWidth="1"/>
    <col min="18" max="18" width="9.7109375" customWidth="1"/>
    <col min="19" max="19" width="10.28515625" customWidth="1"/>
    <col min="20" max="20" width="9.85546875" customWidth="1"/>
    <col min="21" max="21" width="10.5703125" customWidth="1"/>
    <col min="22" max="23" width="9.7109375" bestFit="1" customWidth="1"/>
    <col min="24" max="24" width="11" customWidth="1"/>
    <col min="25" max="25" width="9.7109375" bestFit="1" customWidth="1"/>
    <col min="26" max="26" width="10.7109375" customWidth="1"/>
    <col min="27" max="27" width="9.5703125" customWidth="1"/>
    <col min="29" max="29" width="9.7109375" bestFit="1" customWidth="1"/>
    <col min="30" max="30" width="9.85546875" customWidth="1"/>
    <col min="31" max="31" width="10.7109375" customWidth="1"/>
    <col min="32" max="32" width="10.7109375" bestFit="1" customWidth="1"/>
    <col min="33" max="33" width="9.7109375" bestFit="1" customWidth="1"/>
    <col min="35" max="35" width="11.5703125" customWidth="1"/>
    <col min="36" max="36" width="10.5703125" customWidth="1"/>
    <col min="37" max="37" width="9.7109375" bestFit="1" customWidth="1"/>
    <col min="39" max="40" width="10.7109375" bestFit="1" customWidth="1"/>
  </cols>
  <sheetData>
    <row r="1" spans="1:40" x14ac:dyDescent="0.25">
      <c r="A1" s="3" t="s">
        <v>1</v>
      </c>
      <c r="B1" s="3" t="s">
        <v>2</v>
      </c>
      <c r="C1" s="3" t="s">
        <v>3</v>
      </c>
      <c r="D1" s="1"/>
      <c r="E1" s="1"/>
      <c r="F1" s="1"/>
      <c r="G1" s="2" t="s">
        <v>1</v>
      </c>
      <c r="H1" s="2" t="s">
        <v>7</v>
      </c>
      <c r="I1" s="2" t="s">
        <v>6</v>
      </c>
      <c r="J1" s="2" t="s">
        <v>5</v>
      </c>
      <c r="K1" s="2" t="s">
        <v>4</v>
      </c>
      <c r="L1" s="2"/>
      <c r="M1" s="2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3">
        <v>75</v>
      </c>
      <c r="B2" s="3" t="s">
        <v>8</v>
      </c>
      <c r="C2" s="3">
        <v>36.79</v>
      </c>
      <c r="G2" s="3">
        <v>75</v>
      </c>
      <c r="H2" s="3">
        <f>C2</f>
        <v>36.79</v>
      </c>
      <c r="I2" s="4">
        <v>75.209999999999994</v>
      </c>
      <c r="J2" s="3">
        <f t="shared" ref="J2:J14" si="0">I2-G2</f>
        <v>0.20999999999999375</v>
      </c>
      <c r="K2" s="5">
        <f t="shared" ref="K2:K14" si="1">H2+J2</f>
        <v>36.999999999999993</v>
      </c>
      <c r="L2" s="3"/>
      <c r="M2" s="3" t="s">
        <v>33</v>
      </c>
    </row>
    <row r="3" spans="1:40" x14ac:dyDescent="0.25">
      <c r="A3" s="3">
        <v>75</v>
      </c>
      <c r="B3" s="3" t="s">
        <v>16</v>
      </c>
      <c r="C3" s="3">
        <v>39.590000000000003</v>
      </c>
      <c r="G3" s="3">
        <v>75</v>
      </c>
      <c r="H3" s="3">
        <f t="shared" ref="H3:H21" si="2">C3</f>
        <v>39.590000000000003</v>
      </c>
      <c r="I3" s="4">
        <v>72.900000000000006</v>
      </c>
      <c r="J3" s="3">
        <f t="shared" si="0"/>
        <v>-2.0999999999999943</v>
      </c>
      <c r="K3" s="5">
        <f t="shared" si="1"/>
        <v>37.490000000000009</v>
      </c>
      <c r="L3" s="3"/>
      <c r="M3" s="3"/>
    </row>
    <row r="4" spans="1:40" x14ac:dyDescent="0.25">
      <c r="A4" s="3">
        <v>75</v>
      </c>
      <c r="B4" s="3" t="s">
        <v>17</v>
      </c>
      <c r="C4" s="3">
        <v>42.68</v>
      </c>
      <c r="G4" s="3">
        <v>75</v>
      </c>
      <c r="H4" s="3">
        <f t="shared" si="2"/>
        <v>42.68</v>
      </c>
      <c r="I4" s="4">
        <v>75.069999999999993</v>
      </c>
      <c r="J4" s="3">
        <f t="shared" si="0"/>
        <v>6.9999999999993179E-2</v>
      </c>
      <c r="K4" s="5">
        <f t="shared" si="1"/>
        <v>42.749999999999993</v>
      </c>
      <c r="L4" s="3"/>
      <c r="M4" s="3" t="s">
        <v>14</v>
      </c>
    </row>
    <row r="5" spans="1:40" x14ac:dyDescent="0.25">
      <c r="A5" s="3">
        <v>75</v>
      </c>
      <c r="B5" s="3" t="s">
        <v>9</v>
      </c>
      <c r="C5" s="3">
        <v>39.89</v>
      </c>
      <c r="G5" s="3">
        <v>75</v>
      </c>
      <c r="H5" s="3">
        <f t="shared" si="2"/>
        <v>39.89</v>
      </c>
      <c r="I5" s="4">
        <v>85.73</v>
      </c>
      <c r="J5" s="3">
        <f t="shared" si="0"/>
        <v>10.730000000000004</v>
      </c>
      <c r="K5" s="5">
        <f>H5+J5</f>
        <v>50.620000000000005</v>
      </c>
      <c r="L5" s="3"/>
      <c r="M5" s="3" t="s">
        <v>14</v>
      </c>
    </row>
    <row r="6" spans="1:40" x14ac:dyDescent="0.25">
      <c r="A6" s="3">
        <v>75</v>
      </c>
      <c r="B6" s="3" t="s">
        <v>18</v>
      </c>
      <c r="C6" s="3">
        <v>41.19</v>
      </c>
      <c r="G6" s="3">
        <v>75</v>
      </c>
      <c r="H6" s="3">
        <f t="shared" si="2"/>
        <v>41.19</v>
      </c>
      <c r="I6" s="4">
        <v>72.709999999999994</v>
      </c>
      <c r="J6" s="3">
        <f t="shared" si="0"/>
        <v>-2.2900000000000063</v>
      </c>
      <c r="K6" s="5">
        <f t="shared" si="1"/>
        <v>38.899999999999991</v>
      </c>
      <c r="L6" s="3"/>
      <c r="M6" s="3" t="s">
        <v>15</v>
      </c>
    </row>
    <row r="7" spans="1:40" x14ac:dyDescent="0.25">
      <c r="A7" s="3">
        <v>75</v>
      </c>
      <c r="B7" s="3" t="s">
        <v>19</v>
      </c>
      <c r="C7" s="3">
        <v>30.7</v>
      </c>
      <c r="G7" s="3">
        <v>75</v>
      </c>
      <c r="H7" s="3">
        <f t="shared" si="2"/>
        <v>30.7</v>
      </c>
      <c r="I7" s="4">
        <v>78.430000000000007</v>
      </c>
      <c r="J7" s="3">
        <f t="shared" si="0"/>
        <v>3.4300000000000068</v>
      </c>
      <c r="K7" s="5">
        <f>H7+J7</f>
        <v>34.13000000000001</v>
      </c>
      <c r="L7" s="3"/>
      <c r="M7" s="3" t="s">
        <v>14</v>
      </c>
    </row>
    <row r="8" spans="1:40" x14ac:dyDescent="0.25">
      <c r="A8" s="3">
        <v>75</v>
      </c>
      <c r="B8" s="3" t="s">
        <v>10</v>
      </c>
      <c r="C8" s="3">
        <v>29.14</v>
      </c>
      <c r="G8" s="3">
        <v>75</v>
      </c>
      <c r="H8" s="3">
        <f t="shared" si="2"/>
        <v>29.14</v>
      </c>
      <c r="I8" s="4">
        <v>70.819999999999993</v>
      </c>
      <c r="J8" s="3">
        <f t="shared" si="0"/>
        <v>-4.1800000000000068</v>
      </c>
      <c r="K8" s="5">
        <f t="shared" si="1"/>
        <v>24.959999999999994</v>
      </c>
      <c r="L8" s="3"/>
      <c r="M8" s="3" t="s">
        <v>25</v>
      </c>
    </row>
    <row r="9" spans="1:40" x14ac:dyDescent="0.25">
      <c r="A9" s="3">
        <v>75</v>
      </c>
      <c r="B9" s="3" t="s">
        <v>20</v>
      </c>
      <c r="C9" s="3">
        <v>41.588999999999999</v>
      </c>
      <c r="G9" s="3">
        <v>75</v>
      </c>
      <c r="H9" s="3">
        <f t="shared" si="2"/>
        <v>41.588999999999999</v>
      </c>
      <c r="I9" s="4">
        <v>80.81</v>
      </c>
      <c r="J9" s="3">
        <f t="shared" si="0"/>
        <v>5.8100000000000023</v>
      </c>
      <c r="K9" s="5">
        <f t="shared" si="1"/>
        <v>47.399000000000001</v>
      </c>
      <c r="L9" s="3"/>
      <c r="M9" s="3"/>
    </row>
    <row r="10" spans="1:40" x14ac:dyDescent="0.25">
      <c r="A10" s="3">
        <v>75</v>
      </c>
      <c r="B10" s="3" t="s">
        <v>21</v>
      </c>
      <c r="C10" s="3">
        <v>39.630000000000003</v>
      </c>
      <c r="G10" s="3">
        <v>75</v>
      </c>
      <c r="H10" s="3">
        <f t="shared" si="2"/>
        <v>39.630000000000003</v>
      </c>
      <c r="I10" s="4">
        <v>74.06</v>
      </c>
      <c r="J10" s="3">
        <f t="shared" si="0"/>
        <v>-0.93999999999999773</v>
      </c>
      <c r="K10" s="5">
        <f t="shared" si="1"/>
        <v>38.690000000000005</v>
      </c>
      <c r="L10" s="3"/>
      <c r="M10" s="3"/>
    </row>
    <row r="11" spans="1:40" x14ac:dyDescent="0.25">
      <c r="A11" s="3">
        <v>75</v>
      </c>
      <c r="B11" s="3" t="s">
        <v>11</v>
      </c>
      <c r="C11" s="3">
        <v>31.75</v>
      </c>
      <c r="G11" s="3">
        <v>75</v>
      </c>
      <c r="H11" s="3">
        <f t="shared" si="2"/>
        <v>31.75</v>
      </c>
      <c r="I11" s="4">
        <v>68.38</v>
      </c>
      <c r="J11" s="3">
        <f t="shared" si="0"/>
        <v>-6.6200000000000045</v>
      </c>
      <c r="K11" s="5">
        <f t="shared" si="1"/>
        <v>25.129999999999995</v>
      </c>
      <c r="L11" s="3"/>
      <c r="M11" s="3"/>
    </row>
    <row r="12" spans="1:40" x14ac:dyDescent="0.25">
      <c r="A12" s="3">
        <v>75</v>
      </c>
      <c r="B12" s="3" t="s">
        <v>22</v>
      </c>
      <c r="C12" s="3">
        <v>32.450000000000003</v>
      </c>
      <c r="G12" s="3">
        <v>75</v>
      </c>
      <c r="H12" s="3">
        <f t="shared" si="2"/>
        <v>32.450000000000003</v>
      </c>
      <c r="I12" s="4">
        <v>75.11</v>
      </c>
      <c r="J12" s="3">
        <f t="shared" si="0"/>
        <v>0.10999999999999943</v>
      </c>
      <c r="K12" s="5">
        <f t="shared" si="1"/>
        <v>32.56</v>
      </c>
      <c r="L12" s="3"/>
      <c r="M12" s="3"/>
    </row>
    <row r="13" spans="1:40" x14ac:dyDescent="0.25">
      <c r="A13" s="3">
        <v>75</v>
      </c>
      <c r="B13" s="3" t="s">
        <v>23</v>
      </c>
      <c r="C13" s="3">
        <v>34.179000000000002</v>
      </c>
      <c r="G13" s="3">
        <v>75</v>
      </c>
      <c r="H13" s="3">
        <f t="shared" si="2"/>
        <v>34.179000000000002</v>
      </c>
      <c r="I13" s="4">
        <v>79.510000000000005</v>
      </c>
      <c r="J13" s="3">
        <f t="shared" si="0"/>
        <v>4.5100000000000051</v>
      </c>
      <c r="K13" s="5">
        <f t="shared" si="1"/>
        <v>38.689000000000007</v>
      </c>
      <c r="L13" s="3"/>
      <c r="M13" s="3"/>
    </row>
    <row r="14" spans="1:40" x14ac:dyDescent="0.25">
      <c r="A14" s="3">
        <v>77</v>
      </c>
      <c r="B14" s="3" t="s">
        <v>12</v>
      </c>
      <c r="C14" s="3">
        <v>26.1</v>
      </c>
      <c r="G14" s="3">
        <v>75</v>
      </c>
      <c r="H14" s="3">
        <f t="shared" si="2"/>
        <v>26.1</v>
      </c>
      <c r="I14" s="4">
        <v>80.45</v>
      </c>
      <c r="J14" s="3">
        <f t="shared" si="0"/>
        <v>5.4500000000000028</v>
      </c>
      <c r="K14" s="5">
        <f t="shared" si="1"/>
        <v>31.550000000000004</v>
      </c>
      <c r="L14" s="3"/>
      <c r="M14" s="3"/>
    </row>
    <row r="15" spans="1:40" x14ac:dyDescent="0.25">
      <c r="A15" s="3">
        <v>75</v>
      </c>
      <c r="B15" s="3" t="s">
        <v>26</v>
      </c>
      <c r="C15" s="3">
        <v>27.65</v>
      </c>
      <c r="G15" s="3">
        <v>75</v>
      </c>
      <c r="H15" s="3">
        <f t="shared" si="2"/>
        <v>27.65</v>
      </c>
      <c r="I15" s="4">
        <v>75.53</v>
      </c>
      <c r="J15" s="3">
        <f t="shared" ref="J15:J21" si="3">I15-G15</f>
        <v>0.53000000000000114</v>
      </c>
      <c r="K15" s="5">
        <f t="shared" ref="K15:K22" si="4">H15+J15</f>
        <v>28.18</v>
      </c>
      <c r="L15" s="3"/>
      <c r="M15" s="3"/>
    </row>
    <row r="16" spans="1:40" x14ac:dyDescent="0.25">
      <c r="A16" s="3">
        <v>75</v>
      </c>
      <c r="B16" s="3" t="s">
        <v>27</v>
      </c>
      <c r="C16" s="3">
        <v>18.760000000000002</v>
      </c>
      <c r="G16" s="3">
        <v>75</v>
      </c>
      <c r="H16" s="3">
        <f t="shared" si="2"/>
        <v>18.760000000000002</v>
      </c>
      <c r="I16" s="4">
        <v>73.760000000000005</v>
      </c>
      <c r="J16" s="3">
        <f t="shared" si="3"/>
        <v>-1.2399999999999949</v>
      </c>
      <c r="K16" s="5">
        <f t="shared" si="4"/>
        <v>17.520000000000007</v>
      </c>
      <c r="L16" s="3"/>
      <c r="M16" s="3"/>
    </row>
    <row r="17" spans="1:13" x14ac:dyDescent="0.25">
      <c r="A17" s="3">
        <v>75</v>
      </c>
      <c r="B17" s="3" t="s">
        <v>28</v>
      </c>
      <c r="C17" s="3">
        <v>10.867000000000001</v>
      </c>
      <c r="G17" s="3">
        <v>75</v>
      </c>
      <c r="H17" s="3">
        <f t="shared" si="2"/>
        <v>10.867000000000001</v>
      </c>
      <c r="I17" s="4">
        <v>70.406999999999996</v>
      </c>
      <c r="J17" s="3">
        <f t="shared" si="3"/>
        <v>-4.5930000000000035</v>
      </c>
      <c r="K17" s="5">
        <f t="shared" si="4"/>
        <v>6.2739999999999974</v>
      </c>
      <c r="L17" s="3"/>
      <c r="M17" s="3"/>
    </row>
    <row r="18" spans="1:13" x14ac:dyDescent="0.25">
      <c r="A18" s="3">
        <v>75</v>
      </c>
      <c r="B18" s="3" t="s">
        <v>29</v>
      </c>
      <c r="C18" s="3">
        <v>4.8499999999999996</v>
      </c>
      <c r="G18" s="3">
        <v>75</v>
      </c>
      <c r="H18" s="3">
        <f>C18</f>
        <v>4.8499999999999996</v>
      </c>
      <c r="I18" s="4">
        <v>69.849999999999994</v>
      </c>
      <c r="J18" s="3">
        <f>I18-G18</f>
        <v>-5.1500000000000057</v>
      </c>
      <c r="K18" s="5">
        <f t="shared" si="4"/>
        <v>-0.30000000000000604</v>
      </c>
      <c r="L18" s="3"/>
      <c r="M18" s="3"/>
    </row>
    <row r="19" spans="1:13" x14ac:dyDescent="0.25">
      <c r="A19" s="3">
        <v>75</v>
      </c>
      <c r="B19" s="3" t="s">
        <v>30</v>
      </c>
      <c r="C19" s="3">
        <v>120</v>
      </c>
      <c r="G19" s="3">
        <v>75</v>
      </c>
      <c r="H19" s="3">
        <f t="shared" si="2"/>
        <v>120</v>
      </c>
      <c r="I19" s="4">
        <v>53.41</v>
      </c>
      <c r="J19" s="3">
        <f t="shared" si="3"/>
        <v>-21.590000000000003</v>
      </c>
      <c r="K19" s="5">
        <f t="shared" si="4"/>
        <v>98.41</v>
      </c>
      <c r="L19" s="3"/>
      <c r="M19" s="3"/>
    </row>
    <row r="20" spans="1:13" x14ac:dyDescent="0.25">
      <c r="A20" s="3">
        <v>75</v>
      </c>
      <c r="B20" s="3" t="s">
        <v>31</v>
      </c>
      <c r="C20" s="3">
        <v>120</v>
      </c>
      <c r="G20" s="3">
        <v>75</v>
      </c>
      <c r="H20" s="3">
        <f t="shared" si="2"/>
        <v>120</v>
      </c>
      <c r="I20" s="4">
        <v>53.24</v>
      </c>
      <c r="J20" s="3">
        <f t="shared" si="3"/>
        <v>-21.759999999999998</v>
      </c>
      <c r="K20" s="5">
        <f t="shared" si="4"/>
        <v>98.240000000000009</v>
      </c>
      <c r="L20" s="3"/>
      <c r="M20" s="3"/>
    </row>
    <row r="21" spans="1:13" x14ac:dyDescent="0.25">
      <c r="A21" s="3">
        <v>75</v>
      </c>
      <c r="B21" s="3" t="s">
        <v>32</v>
      </c>
      <c r="C21" s="3">
        <v>120</v>
      </c>
      <c r="G21" s="3">
        <v>75</v>
      </c>
      <c r="H21" s="3">
        <f t="shared" si="2"/>
        <v>120</v>
      </c>
      <c r="I21" s="4">
        <v>74.3</v>
      </c>
      <c r="J21" s="3">
        <f t="shared" si="3"/>
        <v>-0.70000000000000284</v>
      </c>
      <c r="K21" s="5">
        <f t="shared" si="4"/>
        <v>119.3</v>
      </c>
      <c r="L21" s="3"/>
      <c r="M21" s="3"/>
    </row>
    <row r="22" spans="1:13" x14ac:dyDescent="0.25">
      <c r="A22" s="3">
        <v>75</v>
      </c>
      <c r="B22" s="3" t="s">
        <v>0</v>
      </c>
      <c r="C22" s="3">
        <v>120</v>
      </c>
      <c r="G22" s="3">
        <v>75</v>
      </c>
      <c r="H22" s="3">
        <f>C22</f>
        <v>120</v>
      </c>
      <c r="I22" s="4">
        <v>53.54</v>
      </c>
      <c r="J22" s="3">
        <v>0</v>
      </c>
      <c r="K22" s="5">
        <f t="shared" si="4"/>
        <v>120</v>
      </c>
      <c r="L22" s="3"/>
      <c r="M2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8139-EF27-4B27-B203-E1E45AE4CEC5}">
  <dimension ref="A1:AN22"/>
  <sheetViews>
    <sheetView topLeftCell="G1" workbookViewId="0">
      <selection activeCell="H24" sqref="H24"/>
    </sheetView>
  </sheetViews>
  <sheetFormatPr defaultRowHeight="15" x14ac:dyDescent="0.25"/>
  <cols>
    <col min="3" max="3" width="12.42578125" customWidth="1"/>
    <col min="4" max="4" width="9.7109375" bestFit="1" customWidth="1"/>
    <col min="5" max="5" width="10" customWidth="1"/>
    <col min="6" max="6" width="9.5703125" customWidth="1"/>
    <col min="7" max="7" width="10.140625" customWidth="1"/>
    <col min="8" max="8" width="17.5703125" customWidth="1"/>
    <col min="9" max="9" width="18.42578125" bestFit="1" customWidth="1"/>
    <col min="10" max="10" width="13.28515625" bestFit="1" customWidth="1"/>
    <col min="11" max="11" width="17.5703125" bestFit="1" customWidth="1"/>
    <col min="12" max="12" width="9.5703125" customWidth="1"/>
    <col min="13" max="13" width="31.28515625" customWidth="1"/>
    <col min="14" max="14" width="9.7109375" bestFit="1" customWidth="1"/>
    <col min="15" max="15" width="9.5703125" customWidth="1"/>
    <col min="16" max="16" width="10.42578125" customWidth="1"/>
    <col min="17" max="17" width="10.5703125" customWidth="1"/>
    <col min="18" max="18" width="9.7109375" customWidth="1"/>
    <col min="19" max="19" width="10.28515625" customWidth="1"/>
    <col min="20" max="20" width="9.85546875" customWidth="1"/>
    <col min="21" max="21" width="10.5703125" customWidth="1"/>
    <col min="22" max="23" width="9.7109375" bestFit="1" customWidth="1"/>
    <col min="24" max="24" width="11" customWidth="1"/>
    <col min="25" max="25" width="9.7109375" bestFit="1" customWidth="1"/>
    <col min="26" max="26" width="10.7109375" customWidth="1"/>
    <col min="27" max="27" width="9.5703125" customWidth="1"/>
    <col min="29" max="29" width="9.7109375" bestFit="1" customWidth="1"/>
    <col min="30" max="30" width="9.85546875" customWidth="1"/>
    <col min="31" max="31" width="10.7109375" customWidth="1"/>
    <col min="32" max="32" width="10.7109375" bestFit="1" customWidth="1"/>
    <col min="33" max="33" width="9.7109375" bestFit="1" customWidth="1"/>
    <col min="35" max="35" width="11.5703125" customWidth="1"/>
    <col min="36" max="36" width="10.5703125" customWidth="1"/>
    <col min="37" max="37" width="9.7109375" bestFit="1" customWidth="1"/>
    <col min="39" max="40" width="10.7109375" bestFit="1" customWidth="1"/>
  </cols>
  <sheetData>
    <row r="1" spans="1:40" x14ac:dyDescent="0.25">
      <c r="A1" s="3" t="s">
        <v>1</v>
      </c>
      <c r="B1" s="3" t="s">
        <v>2</v>
      </c>
      <c r="C1" s="3" t="s">
        <v>3</v>
      </c>
      <c r="D1" s="1"/>
      <c r="E1" s="1"/>
      <c r="F1" s="1"/>
      <c r="G1" s="2" t="s">
        <v>1</v>
      </c>
      <c r="H1" s="2" t="s">
        <v>7</v>
      </c>
      <c r="I1" s="2" t="s">
        <v>6</v>
      </c>
      <c r="J1" s="2" t="s">
        <v>5</v>
      </c>
      <c r="K1" s="2" t="s">
        <v>4</v>
      </c>
      <c r="L1" s="2"/>
      <c r="M1" s="2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3">
        <v>75</v>
      </c>
      <c r="B2" s="3" t="s">
        <v>8</v>
      </c>
      <c r="C2" s="3">
        <v>0</v>
      </c>
      <c r="G2" s="3">
        <v>75</v>
      </c>
      <c r="H2" s="3">
        <f>C2</f>
        <v>0</v>
      </c>
      <c r="I2" s="4">
        <v>75.400000000000006</v>
      </c>
      <c r="J2" s="3">
        <f t="shared" ref="J2:J21" si="0">I2-G2</f>
        <v>0.40000000000000568</v>
      </c>
      <c r="K2" s="5">
        <f t="shared" ref="K2:K22" si="1">H2+J2</f>
        <v>0.40000000000000568</v>
      </c>
      <c r="L2" s="3"/>
      <c r="M2" s="3" t="s">
        <v>24</v>
      </c>
    </row>
    <row r="3" spans="1:40" x14ac:dyDescent="0.25">
      <c r="A3" s="3">
        <v>75</v>
      </c>
      <c r="B3" s="3" t="s">
        <v>16</v>
      </c>
      <c r="C3" s="3">
        <v>0</v>
      </c>
      <c r="G3" s="3">
        <v>75</v>
      </c>
      <c r="H3" s="3">
        <f t="shared" ref="H3:H12" si="2">C3</f>
        <v>0</v>
      </c>
      <c r="I3" s="4">
        <v>72.400000000000006</v>
      </c>
      <c r="J3" s="3">
        <f t="shared" si="0"/>
        <v>-2.5999999999999943</v>
      </c>
      <c r="K3" s="5">
        <f t="shared" si="1"/>
        <v>-2.5999999999999943</v>
      </c>
      <c r="L3" s="3"/>
      <c r="M3" s="3"/>
    </row>
    <row r="4" spans="1:40" x14ac:dyDescent="0.25">
      <c r="A4" s="3">
        <v>75</v>
      </c>
      <c r="B4" s="3" t="s">
        <v>17</v>
      </c>
      <c r="C4" s="3">
        <v>0</v>
      </c>
      <c r="G4" s="3">
        <v>75</v>
      </c>
      <c r="H4" s="3">
        <f t="shared" si="2"/>
        <v>0</v>
      </c>
      <c r="I4" s="4">
        <v>77.3</v>
      </c>
      <c r="J4" s="3">
        <f t="shared" si="0"/>
        <v>2.2999999999999972</v>
      </c>
      <c r="K4" s="5">
        <f t="shared" si="1"/>
        <v>2.2999999999999972</v>
      </c>
      <c r="L4" s="3"/>
      <c r="M4" s="3" t="s">
        <v>14</v>
      </c>
    </row>
    <row r="5" spans="1:40" x14ac:dyDescent="0.25">
      <c r="A5" s="3">
        <v>75</v>
      </c>
      <c r="B5" s="3" t="s">
        <v>9</v>
      </c>
      <c r="C5" s="3">
        <v>0</v>
      </c>
      <c r="G5" s="3">
        <v>75</v>
      </c>
      <c r="H5" s="3">
        <f t="shared" si="2"/>
        <v>0</v>
      </c>
      <c r="I5" s="4">
        <v>74.8</v>
      </c>
      <c r="J5" s="3">
        <f t="shared" si="0"/>
        <v>-0.20000000000000284</v>
      </c>
      <c r="K5" s="5">
        <f t="shared" si="1"/>
        <v>-0.20000000000000284</v>
      </c>
      <c r="L5" s="3"/>
      <c r="M5" s="3" t="s">
        <v>14</v>
      </c>
    </row>
    <row r="6" spans="1:40" x14ac:dyDescent="0.25">
      <c r="A6" s="3">
        <v>75</v>
      </c>
      <c r="B6" s="3" t="s">
        <v>18</v>
      </c>
      <c r="C6" s="3">
        <v>0</v>
      </c>
      <c r="G6" s="3">
        <v>75</v>
      </c>
      <c r="H6" s="3">
        <f t="shared" si="2"/>
        <v>0</v>
      </c>
      <c r="I6" s="4">
        <v>76.3</v>
      </c>
      <c r="J6" s="3">
        <f t="shared" si="0"/>
        <v>1.2999999999999972</v>
      </c>
      <c r="K6" s="5">
        <f t="shared" si="1"/>
        <v>1.2999999999999972</v>
      </c>
      <c r="L6" s="3"/>
      <c r="M6" s="3" t="s">
        <v>15</v>
      </c>
    </row>
    <row r="7" spans="1:40" x14ac:dyDescent="0.25">
      <c r="A7" s="3">
        <v>75</v>
      </c>
      <c r="B7" s="3" t="s">
        <v>19</v>
      </c>
      <c r="C7" s="3">
        <v>0</v>
      </c>
      <c r="G7" s="3">
        <v>75</v>
      </c>
      <c r="H7" s="3">
        <f t="shared" si="2"/>
        <v>0</v>
      </c>
      <c r="I7" s="4">
        <v>73.599999999999994</v>
      </c>
      <c r="J7" s="3">
        <f t="shared" si="0"/>
        <v>-1.4000000000000057</v>
      </c>
      <c r="K7" s="5">
        <f t="shared" si="1"/>
        <v>-1.4000000000000057</v>
      </c>
      <c r="L7" s="3"/>
      <c r="M7" s="3" t="s">
        <v>14</v>
      </c>
    </row>
    <row r="8" spans="1:40" x14ac:dyDescent="0.25">
      <c r="A8" s="3">
        <v>75</v>
      </c>
      <c r="B8" s="3" t="s">
        <v>10</v>
      </c>
      <c r="C8" s="3">
        <v>0</v>
      </c>
      <c r="G8" s="3">
        <v>75</v>
      </c>
      <c r="H8" s="3">
        <f t="shared" si="2"/>
        <v>0</v>
      </c>
      <c r="I8" s="4">
        <v>76</v>
      </c>
      <c r="J8" s="3">
        <f t="shared" si="0"/>
        <v>1</v>
      </c>
      <c r="K8" s="5">
        <f t="shared" si="1"/>
        <v>1</v>
      </c>
      <c r="L8" s="3"/>
      <c r="M8" s="3" t="s">
        <v>25</v>
      </c>
    </row>
    <row r="9" spans="1:40" x14ac:dyDescent="0.25">
      <c r="A9" s="3">
        <v>75</v>
      </c>
      <c r="B9" s="3" t="s">
        <v>20</v>
      </c>
      <c r="C9" s="3">
        <v>0</v>
      </c>
      <c r="G9" s="3">
        <v>75</v>
      </c>
      <c r="H9" s="3">
        <f t="shared" si="2"/>
        <v>0</v>
      </c>
      <c r="I9" s="4">
        <v>74.8</v>
      </c>
      <c r="J9" s="3">
        <f t="shared" si="0"/>
        <v>-0.20000000000000284</v>
      </c>
      <c r="K9" s="5">
        <f t="shared" si="1"/>
        <v>-0.20000000000000284</v>
      </c>
      <c r="L9" s="3"/>
      <c r="M9" s="3"/>
    </row>
    <row r="10" spans="1:40" x14ac:dyDescent="0.25">
      <c r="A10" s="3">
        <v>75</v>
      </c>
      <c r="B10" s="3" t="s">
        <v>21</v>
      </c>
      <c r="C10" s="3">
        <v>0</v>
      </c>
      <c r="G10" s="3">
        <v>75</v>
      </c>
      <c r="H10" s="3">
        <f t="shared" si="2"/>
        <v>0</v>
      </c>
      <c r="I10" s="4">
        <v>77.2</v>
      </c>
      <c r="J10" s="3">
        <f t="shared" si="0"/>
        <v>2.2000000000000028</v>
      </c>
      <c r="K10" s="5">
        <f t="shared" si="1"/>
        <v>2.2000000000000028</v>
      </c>
      <c r="L10" s="3"/>
      <c r="M10" s="3"/>
    </row>
    <row r="11" spans="1:40" x14ac:dyDescent="0.25">
      <c r="A11" s="3">
        <v>75</v>
      </c>
      <c r="B11" s="3" t="s">
        <v>11</v>
      </c>
      <c r="C11" s="3">
        <v>0</v>
      </c>
      <c r="G11" s="3">
        <v>75</v>
      </c>
      <c r="H11" s="3">
        <f t="shared" si="2"/>
        <v>0</v>
      </c>
      <c r="I11" s="4">
        <v>75.3</v>
      </c>
      <c r="J11" s="3">
        <f t="shared" si="0"/>
        <v>0.29999999999999716</v>
      </c>
      <c r="K11" s="5">
        <f t="shared" si="1"/>
        <v>0.29999999999999716</v>
      </c>
      <c r="L11" s="3"/>
      <c r="M11" s="3"/>
    </row>
    <row r="12" spans="1:40" x14ac:dyDescent="0.25">
      <c r="A12" s="3">
        <v>75</v>
      </c>
      <c r="B12" s="3" t="s">
        <v>22</v>
      </c>
      <c r="C12" s="3">
        <v>0</v>
      </c>
      <c r="G12" s="3">
        <v>75</v>
      </c>
      <c r="H12" s="3">
        <f t="shared" si="2"/>
        <v>0</v>
      </c>
      <c r="I12" s="4">
        <v>73.900000000000006</v>
      </c>
      <c r="J12" s="3">
        <f t="shared" si="0"/>
        <v>-1.0999999999999943</v>
      </c>
      <c r="K12" s="5">
        <f t="shared" si="1"/>
        <v>-1.0999999999999943</v>
      </c>
      <c r="L12" s="3"/>
      <c r="M12" s="3"/>
    </row>
    <row r="13" spans="1:40" x14ac:dyDescent="0.25">
      <c r="A13" s="3">
        <v>75</v>
      </c>
      <c r="B13" s="3" t="s">
        <v>23</v>
      </c>
      <c r="C13" s="3">
        <v>0</v>
      </c>
      <c r="G13" s="3">
        <v>75</v>
      </c>
      <c r="H13" s="3">
        <f>C13</f>
        <v>0</v>
      </c>
      <c r="I13" s="4">
        <v>75.099999999999994</v>
      </c>
      <c r="J13" s="3">
        <f t="shared" si="0"/>
        <v>9.9999999999994316E-2</v>
      </c>
      <c r="K13" s="5">
        <f t="shared" si="1"/>
        <v>9.9999999999994316E-2</v>
      </c>
      <c r="L13" s="3"/>
      <c r="M13" s="3"/>
    </row>
    <row r="14" spans="1:40" x14ac:dyDescent="0.25">
      <c r="A14" s="3">
        <v>75</v>
      </c>
      <c r="B14" s="3" t="s">
        <v>12</v>
      </c>
      <c r="C14" s="3">
        <v>0</v>
      </c>
      <c r="G14" s="3">
        <v>75</v>
      </c>
      <c r="H14" s="3">
        <f t="shared" ref="H14:H21" si="3">C14</f>
        <v>0</v>
      </c>
      <c r="I14" s="4">
        <v>75</v>
      </c>
      <c r="J14" s="3">
        <f t="shared" si="0"/>
        <v>0</v>
      </c>
      <c r="K14" s="5">
        <f t="shared" si="1"/>
        <v>0</v>
      </c>
      <c r="L14" s="3"/>
      <c r="M14" s="3"/>
    </row>
    <row r="15" spans="1:40" x14ac:dyDescent="0.25">
      <c r="A15" s="3">
        <v>75</v>
      </c>
      <c r="B15" s="3" t="s">
        <v>26</v>
      </c>
      <c r="C15" s="3">
        <v>0</v>
      </c>
      <c r="G15" s="3">
        <v>75</v>
      </c>
      <c r="H15" s="3">
        <f t="shared" si="3"/>
        <v>0</v>
      </c>
      <c r="I15" s="4">
        <v>74.900000000000006</v>
      </c>
      <c r="J15" s="3">
        <f t="shared" si="0"/>
        <v>-9.9999999999994316E-2</v>
      </c>
      <c r="K15" s="5">
        <f t="shared" si="1"/>
        <v>-9.9999999999994316E-2</v>
      </c>
      <c r="L15" s="3"/>
      <c r="M15" s="3"/>
    </row>
    <row r="16" spans="1:40" x14ac:dyDescent="0.25">
      <c r="A16" s="3">
        <v>75</v>
      </c>
      <c r="B16" s="3" t="s">
        <v>27</v>
      </c>
      <c r="C16" s="3">
        <v>0</v>
      </c>
      <c r="G16" s="3">
        <v>75</v>
      </c>
      <c r="H16" s="3">
        <f t="shared" si="3"/>
        <v>0</v>
      </c>
      <c r="I16" s="4">
        <v>74.8</v>
      </c>
      <c r="J16" s="3">
        <f t="shared" si="0"/>
        <v>-0.20000000000000284</v>
      </c>
      <c r="K16" s="5">
        <f t="shared" si="1"/>
        <v>-0.20000000000000284</v>
      </c>
      <c r="L16" s="3"/>
      <c r="M16" s="3"/>
    </row>
    <row r="17" spans="1:13" x14ac:dyDescent="0.25">
      <c r="A17" s="3">
        <v>75</v>
      </c>
      <c r="B17" s="3" t="s">
        <v>28</v>
      </c>
      <c r="C17" s="3">
        <v>0</v>
      </c>
      <c r="G17" s="3">
        <v>75</v>
      </c>
      <c r="H17" s="3">
        <f t="shared" si="3"/>
        <v>0</v>
      </c>
      <c r="I17" s="4">
        <v>74.7</v>
      </c>
      <c r="J17" s="3">
        <f t="shared" si="0"/>
        <v>-0.29999999999999716</v>
      </c>
      <c r="K17" s="5">
        <f t="shared" si="1"/>
        <v>-0.29999999999999716</v>
      </c>
      <c r="L17" s="3"/>
      <c r="M17" s="3"/>
    </row>
    <row r="18" spans="1:13" x14ac:dyDescent="0.25">
      <c r="A18" s="3">
        <v>75</v>
      </c>
      <c r="B18" s="3" t="s">
        <v>29</v>
      </c>
      <c r="C18" s="3">
        <v>0</v>
      </c>
      <c r="G18" s="3">
        <v>75</v>
      </c>
      <c r="H18" s="3">
        <f t="shared" si="3"/>
        <v>0</v>
      </c>
      <c r="I18" s="4">
        <v>74.599999999999994</v>
      </c>
      <c r="J18" s="3">
        <f t="shared" si="0"/>
        <v>-0.40000000000000568</v>
      </c>
      <c r="K18" s="5">
        <f t="shared" si="1"/>
        <v>-0.40000000000000568</v>
      </c>
      <c r="L18" s="3"/>
      <c r="M18" s="3"/>
    </row>
    <row r="19" spans="1:13" x14ac:dyDescent="0.25">
      <c r="A19" s="3">
        <v>75</v>
      </c>
      <c r="B19" s="3" t="s">
        <v>30</v>
      </c>
      <c r="C19" s="3">
        <v>0</v>
      </c>
      <c r="G19" s="3">
        <v>75</v>
      </c>
      <c r="H19" s="3">
        <f t="shared" si="3"/>
        <v>0</v>
      </c>
      <c r="I19" s="4">
        <v>74.5</v>
      </c>
      <c r="J19" s="3">
        <f t="shared" si="0"/>
        <v>-0.5</v>
      </c>
      <c r="K19" s="5">
        <f t="shared" si="1"/>
        <v>-0.5</v>
      </c>
      <c r="L19" s="3"/>
      <c r="M19" s="3"/>
    </row>
    <row r="20" spans="1:13" x14ac:dyDescent="0.25">
      <c r="A20" s="3">
        <v>75</v>
      </c>
      <c r="B20" s="3" t="s">
        <v>31</v>
      </c>
      <c r="C20" s="3">
        <v>0</v>
      </c>
      <c r="G20" s="3">
        <v>75</v>
      </c>
      <c r="H20" s="3">
        <f t="shared" si="3"/>
        <v>0</v>
      </c>
      <c r="I20" s="4">
        <v>74.400000000000006</v>
      </c>
      <c r="J20" s="3">
        <f t="shared" si="0"/>
        <v>-0.59999999999999432</v>
      </c>
      <c r="K20" s="5">
        <f t="shared" si="1"/>
        <v>-0.59999999999999432</v>
      </c>
      <c r="L20" s="3"/>
      <c r="M20" s="3"/>
    </row>
    <row r="21" spans="1:13" x14ac:dyDescent="0.25">
      <c r="A21" s="3">
        <v>75</v>
      </c>
      <c r="B21" s="3" t="s">
        <v>32</v>
      </c>
      <c r="C21" s="3">
        <v>0</v>
      </c>
      <c r="G21" s="3">
        <v>75</v>
      </c>
      <c r="H21" s="3">
        <f t="shared" si="3"/>
        <v>0</v>
      </c>
      <c r="I21" s="4">
        <v>74.3</v>
      </c>
      <c r="J21" s="3">
        <f t="shared" si="0"/>
        <v>-0.70000000000000284</v>
      </c>
      <c r="K21" s="5">
        <f t="shared" si="1"/>
        <v>-0.70000000000000284</v>
      </c>
      <c r="L21" s="3"/>
      <c r="M21" s="3"/>
    </row>
    <row r="22" spans="1:13" x14ac:dyDescent="0.25">
      <c r="A22" s="3">
        <v>75</v>
      </c>
      <c r="B22" s="3" t="s">
        <v>0</v>
      </c>
      <c r="C22" s="3">
        <v>120</v>
      </c>
      <c r="G22" s="3">
        <v>75</v>
      </c>
      <c r="H22" s="3">
        <f>C22</f>
        <v>120</v>
      </c>
      <c r="I22" s="4">
        <v>120</v>
      </c>
      <c r="J22" s="3">
        <v>0</v>
      </c>
      <c r="K22" s="5">
        <f t="shared" si="1"/>
        <v>120</v>
      </c>
      <c r="L22" s="3"/>
      <c r="M2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ch1</vt:lpstr>
      <vt:lpstr>ch2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froglab</dc:creator>
  <cp:lastModifiedBy>Norman Lee</cp:lastModifiedBy>
  <dcterms:created xsi:type="dcterms:W3CDTF">2015-06-22T18:16:08Z</dcterms:created>
  <dcterms:modified xsi:type="dcterms:W3CDTF">2025-01-09T16:55:04Z</dcterms:modified>
</cp:coreProperties>
</file>