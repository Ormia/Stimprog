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e Lab\Documents\MATLAB\StimProgV6\"/>
    </mc:Choice>
  </mc:AlternateContent>
  <xr:revisionPtr revIDLastSave="0" documentId="13_ncr:1_{4948B5F8-CE5E-4107-AB38-2B20F4C3FCA3}" xr6:coauthVersionLast="47" xr6:coauthVersionMax="47" xr10:uidLastSave="{00000000-0000-0000-0000-000000000000}"/>
  <bookViews>
    <workbookView xWindow="270" yWindow="1965" windowWidth="11430" windowHeight="9255" xr2:uid="{30E36E7F-E33D-461B-B4EA-E26F530A174C}"/>
  </bookViews>
  <sheets>
    <sheet name="LeftSpk" sheetId="1" r:id="rId1"/>
    <sheet name="RightSp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" l="1"/>
  <c r="E12" i="1" s="1"/>
  <c r="D2" i="2"/>
  <c r="E2" i="2" s="1"/>
  <c r="D3" i="2"/>
  <c r="E3" i="2" s="1"/>
  <c r="D4" i="2"/>
  <c r="E4" i="2" s="1"/>
  <c r="D5" i="2"/>
  <c r="E5" i="2" s="1"/>
  <c r="D6" i="2"/>
  <c r="E6" i="2" s="1"/>
  <c r="D7" i="2"/>
  <c r="E7" i="2" s="1"/>
  <c r="D8" i="2"/>
  <c r="E8" i="2" s="1"/>
  <c r="D9" i="2"/>
  <c r="E9" i="2" s="1"/>
  <c r="D10" i="2"/>
  <c r="E10" i="2" s="1"/>
  <c r="D11" i="2"/>
  <c r="E11" i="2" s="1"/>
  <c r="D12" i="2"/>
  <c r="E12" i="2" s="1"/>
  <c r="D13" i="2"/>
  <c r="E13" i="2" s="1"/>
  <c r="D14" i="2"/>
  <c r="E14" i="2" s="1"/>
  <c r="D18" i="2"/>
  <c r="E18" i="2" s="1"/>
  <c r="D17" i="2"/>
  <c r="E17" i="2" s="1"/>
  <c r="D16" i="2"/>
  <c r="E16" i="2" s="1"/>
  <c r="D15" i="2"/>
  <c r="E15" i="2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3" i="1"/>
  <c r="E3" i="1" s="1"/>
  <c r="D4" i="1"/>
  <c r="E4" i="1" s="1"/>
  <c r="D2" i="1"/>
  <c r="E2" i="1" s="1"/>
</calcChain>
</file>

<file path=xl/sharedStrings.xml><?xml version="1.0" encoding="utf-8"?>
<sst xmlns="http://schemas.openxmlformats.org/spreadsheetml/2006/main" count="10" uniqueCount="5">
  <si>
    <t>Freq</t>
  </si>
  <si>
    <t>Reference Intensity</t>
  </si>
  <si>
    <t>SPL Meter Readings</t>
  </si>
  <si>
    <t>Difference</t>
  </si>
  <si>
    <t>Linear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</si>
</sst>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73C3A-7A98-4E24-9F52-E9C138724AF6}">
  <dimension ref="A1:E18"/>
  <sheetViews>
    <sheetView tabSelected="1" workbookViewId="0">
      <selection activeCell="C12" sqref="C12"/>
    </sheetView>
  </sheetViews>
  <sheetFormatPr defaultRowHeight="15" x14ac:dyDescent="0.25"/>
  <cols>
    <col min="1" max="1" width="6" bestFit="1" customWidth="1"/>
    <col min="2" max="2" width="18.7109375" bestFit="1" customWidth="1"/>
    <col min="3" max="3" width="18.5703125" bestFit="1" customWidth="1"/>
    <col min="4" max="4" width="10.42578125" bestFit="1" customWidth="1"/>
    <col min="5" max="5" width="17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1000</v>
      </c>
      <c r="B2">
        <v>75</v>
      </c>
      <c r="C2">
        <v>87.3</v>
      </c>
      <c r="D2">
        <f t="shared" ref="D2:D18" si="0">C2-B2</f>
        <v>12.299999999999997</v>
      </c>
      <c r="E2">
        <f>10^(-D2/20)</f>
        <v>0.24266100950824157</v>
      </c>
    </row>
    <row r="3" spans="1:5" x14ac:dyDescent="0.25">
      <c r="A3">
        <v>1250</v>
      </c>
      <c r="B3">
        <v>75</v>
      </c>
      <c r="C3">
        <v>81.96</v>
      </c>
      <c r="D3">
        <f t="shared" si="0"/>
        <v>6.9599999999999937</v>
      </c>
      <c r="E3">
        <f t="shared" ref="E3:E18" si="1">10^(-D3/20)</f>
        <v>0.4487453899331324</v>
      </c>
    </row>
    <row r="4" spans="1:5" x14ac:dyDescent="0.25">
      <c r="A4">
        <v>1600</v>
      </c>
      <c r="B4">
        <v>75</v>
      </c>
      <c r="C4">
        <v>91.16</v>
      </c>
      <c r="D4">
        <f t="shared" si="0"/>
        <v>16.159999999999997</v>
      </c>
      <c r="E4">
        <f t="shared" si="1"/>
        <v>0.15559656316050749</v>
      </c>
    </row>
    <row r="5" spans="1:5" x14ac:dyDescent="0.25">
      <c r="A5">
        <v>2000</v>
      </c>
      <c r="B5">
        <v>75</v>
      </c>
      <c r="C5">
        <v>94.73</v>
      </c>
      <c r="D5">
        <f t="shared" si="0"/>
        <v>19.730000000000004</v>
      </c>
      <c r="E5">
        <f t="shared" si="1"/>
        <v>0.10315730794395107</v>
      </c>
    </row>
    <row r="6" spans="1:5" x14ac:dyDescent="0.25">
      <c r="A6">
        <v>2500</v>
      </c>
      <c r="B6">
        <v>75</v>
      </c>
      <c r="C6">
        <v>92.66</v>
      </c>
      <c r="D6">
        <f t="shared" si="0"/>
        <v>17.659999999999997</v>
      </c>
      <c r="E6">
        <f t="shared" si="1"/>
        <v>0.1309181922999407</v>
      </c>
    </row>
    <row r="7" spans="1:5" x14ac:dyDescent="0.25">
      <c r="A7">
        <v>3150</v>
      </c>
      <c r="B7">
        <v>75</v>
      </c>
      <c r="C7">
        <v>90.55</v>
      </c>
      <c r="D7">
        <f t="shared" si="0"/>
        <v>15.549999999999997</v>
      </c>
      <c r="E7">
        <f t="shared" si="1"/>
        <v>0.16691678072110577</v>
      </c>
    </row>
    <row r="8" spans="1:5" x14ac:dyDescent="0.25">
      <c r="A8">
        <v>4000</v>
      </c>
      <c r="B8">
        <v>75</v>
      </c>
      <c r="C8">
        <v>87.28</v>
      </c>
      <c r="D8">
        <f t="shared" si="0"/>
        <v>12.280000000000001</v>
      </c>
      <c r="E8">
        <f t="shared" si="1"/>
        <v>0.24322040090738142</v>
      </c>
    </row>
    <row r="9" spans="1:5" x14ac:dyDescent="0.25">
      <c r="A9">
        <v>5000</v>
      </c>
      <c r="B9">
        <v>75</v>
      </c>
      <c r="C9">
        <v>91.96</v>
      </c>
      <c r="D9">
        <f t="shared" si="0"/>
        <v>16.959999999999994</v>
      </c>
      <c r="E9">
        <f t="shared" si="1"/>
        <v>0.1419057521689093</v>
      </c>
    </row>
    <row r="10" spans="1:5" x14ac:dyDescent="0.25">
      <c r="A10">
        <v>6300</v>
      </c>
      <c r="B10">
        <v>75</v>
      </c>
      <c r="C10">
        <v>87.53</v>
      </c>
      <c r="D10">
        <f t="shared" si="0"/>
        <v>12.530000000000001</v>
      </c>
      <c r="E10">
        <f t="shared" si="1"/>
        <v>0.23631973991540159</v>
      </c>
    </row>
    <row r="11" spans="1:5" x14ac:dyDescent="0.25">
      <c r="A11">
        <v>8000</v>
      </c>
      <c r="B11">
        <v>75</v>
      </c>
      <c r="C11">
        <v>90.68</v>
      </c>
      <c r="D11">
        <f t="shared" si="0"/>
        <v>15.680000000000007</v>
      </c>
      <c r="E11">
        <f t="shared" si="1"/>
        <v>0.16443717232149302</v>
      </c>
    </row>
    <row r="12" spans="1:5" x14ac:dyDescent="0.25">
      <c r="A12">
        <v>10000</v>
      </c>
      <c r="B12">
        <v>75</v>
      </c>
      <c r="C12">
        <v>89.35</v>
      </c>
      <c r="D12">
        <f t="shared" si="0"/>
        <v>14.349999999999994</v>
      </c>
      <c r="E12">
        <f t="shared" si="1"/>
        <v>0.19164610627353876</v>
      </c>
    </row>
    <row r="13" spans="1:5" x14ac:dyDescent="0.25">
      <c r="A13">
        <v>12500</v>
      </c>
      <c r="B13">
        <v>75</v>
      </c>
      <c r="C13">
        <v>86.78</v>
      </c>
      <c r="D13">
        <f t="shared" si="0"/>
        <v>11.780000000000001</v>
      </c>
      <c r="E13">
        <f t="shared" si="1"/>
        <v>0.25763211570025746</v>
      </c>
    </row>
    <row r="14" spans="1:5" x14ac:dyDescent="0.25">
      <c r="A14">
        <v>16000</v>
      </c>
      <c r="B14">
        <v>75</v>
      </c>
      <c r="C14">
        <v>81.95</v>
      </c>
      <c r="D14">
        <f t="shared" si="0"/>
        <v>6.9500000000000028</v>
      </c>
      <c r="E14">
        <f t="shared" si="1"/>
        <v>0.44926232467029314</v>
      </c>
    </row>
    <row r="15" spans="1:5" x14ac:dyDescent="0.25">
      <c r="A15">
        <v>20160</v>
      </c>
      <c r="B15">
        <v>75</v>
      </c>
      <c r="C15">
        <v>79.150000000000006</v>
      </c>
      <c r="D15">
        <f t="shared" si="0"/>
        <v>4.1500000000000057</v>
      </c>
      <c r="E15">
        <f t="shared" si="1"/>
        <v>0.62015464365378492</v>
      </c>
    </row>
    <row r="16" spans="1:5" x14ac:dyDescent="0.25">
      <c r="A16">
        <v>25400</v>
      </c>
      <c r="B16">
        <v>75</v>
      </c>
      <c r="C16">
        <v>74.61</v>
      </c>
      <c r="D16">
        <f t="shared" si="0"/>
        <v>-0.39000000000000057</v>
      </c>
      <c r="E16">
        <f t="shared" si="1"/>
        <v>1.0459236904631686</v>
      </c>
    </row>
    <row r="17" spans="1:5" x14ac:dyDescent="0.25">
      <c r="A17">
        <v>32000</v>
      </c>
      <c r="B17">
        <v>75</v>
      </c>
      <c r="C17">
        <v>71.34</v>
      </c>
      <c r="D17">
        <f t="shared" si="0"/>
        <v>-3.6599999999999966</v>
      </c>
      <c r="E17">
        <f t="shared" si="1"/>
        <v>1.5240527537972908</v>
      </c>
    </row>
    <row r="18" spans="1:5" x14ac:dyDescent="0.25">
      <c r="A18">
        <v>40300</v>
      </c>
      <c r="B18">
        <v>75</v>
      </c>
      <c r="C18">
        <v>65.67</v>
      </c>
      <c r="D18">
        <f t="shared" si="0"/>
        <v>-9.3299999999999983</v>
      </c>
      <c r="E18">
        <f t="shared" si="1"/>
        <v>2.9275208713694418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9915B-8219-489C-8DF5-C6A201F75DF3}">
  <dimension ref="A1:E18"/>
  <sheetViews>
    <sheetView workbookViewId="0">
      <selection activeCell="C12" sqref="C12"/>
    </sheetView>
  </sheetViews>
  <sheetFormatPr defaultRowHeight="15" x14ac:dyDescent="0.25"/>
  <cols>
    <col min="1" max="1" width="6" bestFit="1" customWidth="1"/>
    <col min="2" max="2" width="18.7109375" bestFit="1" customWidth="1"/>
    <col min="3" max="3" width="18.5703125" bestFit="1" customWidth="1"/>
    <col min="4" max="4" width="10.42578125" bestFit="1" customWidth="1"/>
    <col min="5" max="5" width="17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1000</v>
      </c>
      <c r="B2">
        <v>75</v>
      </c>
      <c r="C2">
        <v>86.54</v>
      </c>
      <c r="D2">
        <f t="shared" ref="D2:D18" si="0">C2-B2</f>
        <v>11.540000000000006</v>
      </c>
      <c r="E2">
        <f>10^(-D2/20)</f>
        <v>0.26485001386066986</v>
      </c>
    </row>
    <row r="3" spans="1:5" x14ac:dyDescent="0.25">
      <c r="A3">
        <v>1250</v>
      </c>
      <c r="B3">
        <v>75</v>
      </c>
      <c r="C3">
        <v>91.13</v>
      </c>
      <c r="D3">
        <f t="shared" si="0"/>
        <v>16.129999999999995</v>
      </c>
      <c r="E3">
        <f t="shared" ref="E3:E18" si="1">10^(-D3/20)</f>
        <v>0.1561349037969651</v>
      </c>
    </row>
    <row r="4" spans="1:5" x14ac:dyDescent="0.25">
      <c r="A4">
        <v>1600</v>
      </c>
      <c r="B4">
        <v>75</v>
      </c>
      <c r="C4">
        <v>90.47</v>
      </c>
      <c r="D4">
        <f t="shared" si="0"/>
        <v>15.469999999999999</v>
      </c>
      <c r="E4">
        <f t="shared" si="1"/>
        <v>0.16846124267740509</v>
      </c>
    </row>
    <row r="5" spans="1:5" x14ac:dyDescent="0.25">
      <c r="A5">
        <v>2000</v>
      </c>
      <c r="B5">
        <v>75</v>
      </c>
      <c r="C5">
        <v>94.26</v>
      </c>
      <c r="D5">
        <f t="shared" si="0"/>
        <v>19.260000000000005</v>
      </c>
      <c r="E5">
        <f t="shared" si="1"/>
        <v>0.10889300933334325</v>
      </c>
    </row>
    <row r="6" spans="1:5" x14ac:dyDescent="0.25">
      <c r="A6">
        <v>2500</v>
      </c>
      <c r="B6">
        <v>75</v>
      </c>
      <c r="C6">
        <v>94.08</v>
      </c>
      <c r="D6">
        <f t="shared" si="0"/>
        <v>19.079999999999998</v>
      </c>
      <c r="E6">
        <f t="shared" si="1"/>
        <v>0.11117317272815913</v>
      </c>
    </row>
    <row r="7" spans="1:5" x14ac:dyDescent="0.25">
      <c r="A7">
        <v>3150</v>
      </c>
      <c r="B7">
        <v>75</v>
      </c>
      <c r="C7">
        <v>91</v>
      </c>
      <c r="D7">
        <f t="shared" si="0"/>
        <v>16</v>
      </c>
      <c r="E7">
        <f t="shared" si="1"/>
        <v>0.15848931924611132</v>
      </c>
    </row>
    <row r="8" spans="1:5" x14ac:dyDescent="0.25">
      <c r="A8">
        <v>4000</v>
      </c>
      <c r="B8">
        <v>75</v>
      </c>
      <c r="C8">
        <v>87.77</v>
      </c>
      <c r="D8">
        <f t="shared" si="0"/>
        <v>12.769999999999996</v>
      </c>
      <c r="E8">
        <f t="shared" si="1"/>
        <v>0.22987937092640146</v>
      </c>
    </row>
    <row r="9" spans="1:5" x14ac:dyDescent="0.25">
      <c r="A9">
        <v>5000</v>
      </c>
      <c r="B9">
        <v>75</v>
      </c>
      <c r="C9">
        <v>93.59</v>
      </c>
      <c r="D9">
        <f t="shared" si="0"/>
        <v>18.590000000000003</v>
      </c>
      <c r="E9">
        <f t="shared" si="1"/>
        <v>0.11762509846847224</v>
      </c>
    </row>
    <row r="10" spans="1:5" x14ac:dyDescent="0.25">
      <c r="A10">
        <v>6300</v>
      </c>
      <c r="B10">
        <v>75</v>
      </c>
      <c r="C10">
        <v>87.12</v>
      </c>
      <c r="D10">
        <f t="shared" si="0"/>
        <v>12.120000000000005</v>
      </c>
      <c r="E10">
        <f t="shared" si="1"/>
        <v>0.24774220576332837</v>
      </c>
    </row>
    <row r="11" spans="1:5" x14ac:dyDescent="0.25">
      <c r="A11">
        <v>8000</v>
      </c>
      <c r="B11">
        <v>75</v>
      </c>
      <c r="C11">
        <v>90.11</v>
      </c>
      <c r="D11">
        <f t="shared" si="0"/>
        <v>15.11</v>
      </c>
      <c r="E11">
        <f t="shared" si="1"/>
        <v>0.17559008941991441</v>
      </c>
    </row>
    <row r="12" spans="1:5" x14ac:dyDescent="0.25">
      <c r="A12">
        <v>10000</v>
      </c>
      <c r="B12">
        <v>75</v>
      </c>
      <c r="C12">
        <v>90.16</v>
      </c>
      <c r="D12">
        <f t="shared" si="0"/>
        <v>15.159999999999997</v>
      </c>
      <c r="E12">
        <f t="shared" si="1"/>
        <v>0.17458221529205042</v>
      </c>
    </row>
    <row r="13" spans="1:5" x14ac:dyDescent="0.25">
      <c r="A13">
        <v>12500</v>
      </c>
      <c r="B13">
        <v>75</v>
      </c>
      <c r="C13">
        <v>87.2</v>
      </c>
      <c r="D13">
        <f t="shared" si="0"/>
        <v>12.200000000000003</v>
      </c>
      <c r="E13">
        <f t="shared" si="1"/>
        <v>0.24547089156850294</v>
      </c>
    </row>
    <row r="14" spans="1:5" x14ac:dyDescent="0.25">
      <c r="A14">
        <v>16000</v>
      </c>
      <c r="B14">
        <v>75</v>
      </c>
      <c r="C14">
        <v>84</v>
      </c>
      <c r="D14">
        <f t="shared" si="0"/>
        <v>9</v>
      </c>
      <c r="E14">
        <f t="shared" si="1"/>
        <v>0.35481338923357542</v>
      </c>
    </row>
    <row r="15" spans="1:5" x14ac:dyDescent="0.25">
      <c r="A15">
        <v>20160</v>
      </c>
      <c r="B15">
        <v>75</v>
      </c>
      <c r="C15">
        <v>80.75</v>
      </c>
      <c r="D15">
        <f t="shared" si="0"/>
        <v>5.75</v>
      </c>
      <c r="E15">
        <f t="shared" si="1"/>
        <v>0.51582216507230561</v>
      </c>
    </row>
    <row r="16" spans="1:5" x14ac:dyDescent="0.25">
      <c r="A16">
        <v>25400</v>
      </c>
      <c r="B16">
        <v>75</v>
      </c>
      <c r="C16">
        <v>74.040000000000006</v>
      </c>
      <c r="D16">
        <f t="shared" si="0"/>
        <v>-0.95999999999999375</v>
      </c>
      <c r="E16">
        <f t="shared" si="1"/>
        <v>1.1168632477805602</v>
      </c>
    </row>
    <row r="17" spans="1:5" x14ac:dyDescent="0.25">
      <c r="A17">
        <v>32000</v>
      </c>
      <c r="B17">
        <v>75</v>
      </c>
      <c r="C17">
        <v>70.81</v>
      </c>
      <c r="D17">
        <f t="shared" si="0"/>
        <v>-4.1899999999999977</v>
      </c>
      <c r="E17">
        <f t="shared" si="1"/>
        <v>1.6199439939036289</v>
      </c>
    </row>
    <row r="18" spans="1:5" x14ac:dyDescent="0.25">
      <c r="A18">
        <v>40300</v>
      </c>
      <c r="B18">
        <v>75</v>
      </c>
      <c r="C18">
        <v>69.53</v>
      </c>
      <c r="D18">
        <f t="shared" si="0"/>
        <v>-5.4699999999999989</v>
      </c>
      <c r="E18">
        <f t="shared" si="1"/>
        <v>1.8771544183750231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LeftSpk</vt:lpstr>
      <vt:lpstr>RightSpk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Lab</dc:creator>
  <cp:lastModifiedBy>Lee Lab</cp:lastModifiedBy>
  <dcterms:created xsi:type="dcterms:W3CDTF">2021-06-14T16:39:56Z</dcterms:created>
  <dcterms:modified xsi:type="dcterms:W3CDTF">2023-04-27T14:46:09Z</dcterms:modified>
</cp:coreProperties>
</file>